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R:\Corporate\2500 Engineering\Dynamic Analysis-DA\~Calculation Tools\Irregular Wave Screening Script\"/>
    </mc:Choice>
  </mc:AlternateContent>
  <xr:revisionPtr revIDLastSave="0" documentId="10_ncr:100000_{C1B6AB39-9FA4-44FA-9C98-E2AC4B242E2A}" xr6:coauthVersionLast="31" xr6:coauthVersionMax="31" xr10:uidLastSave="{00000000-0000-0000-0000-000000000000}"/>
  <bookViews>
    <workbookView xWindow="0" yWindow="0" windowWidth="25200" windowHeight="9885" xr2:uid="{00000000-000D-0000-FFFF-FFFF00000000}"/>
  </bookViews>
  <sheets>
    <sheet name="Input" sheetId="1" r:id="rId1"/>
    <sheet name="post process" sheetId="10" r:id="rId2"/>
    <sheet name="bs_ref" sheetId="9" r:id="rId3"/>
  </sheets>
  <definedNames>
    <definedName name="OrcObj">Input!$B$12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5" i="10" l="1"/>
  <c r="G14" i="10"/>
  <c r="G13" i="10"/>
  <c r="G12" i="10"/>
  <c r="G11" i="10"/>
  <c r="G10" i="10"/>
  <c r="G9" i="10"/>
  <c r="G8" i="10"/>
  <c r="G7" i="10"/>
  <c r="G6" i="10"/>
  <c r="D15" i="10" l="1"/>
  <c r="D14" i="10"/>
  <c r="D13" i="10"/>
  <c r="D12" i="10"/>
  <c r="D11" i="10"/>
  <c r="D10" i="10"/>
  <c r="D9" i="10"/>
  <c r="D8" i="10"/>
  <c r="D7" i="10"/>
  <c r="D6"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Fred Turner</author>
    <author>Stephen Noftall</author>
    <author>Anskey Miranda</author>
    <author>Todd Jeans</author>
  </authors>
  <commentList>
    <comment ref="I1" authorId="0" shapeId="0" xr:uid="{00000000-0006-0000-0000-000001000000}">
      <text>
        <r>
          <rPr>
            <b/>
            <sz val="9"/>
            <color indexed="81"/>
            <rFont val="Tahoma"/>
            <family val="2"/>
          </rPr>
          <t>Fred Turner:</t>
        </r>
        <r>
          <rPr>
            <sz val="9"/>
            <color indexed="81"/>
            <rFont val="Tahoma"/>
            <family val="2"/>
          </rPr>
          <t xml:space="preserve">
in one for one mode there is a unique set of attributes for each file name.  Otherwise each file is run with all combinations.  If no attributes are listed than the wave characteristics in the files will be used instead.</t>
        </r>
      </text>
    </comment>
    <comment ref="J1" authorId="0" shapeId="0" xr:uid="{00000000-0006-0000-0000-000002000000}">
      <text>
        <r>
          <rPr>
            <b/>
            <sz val="9"/>
            <color indexed="81"/>
            <rFont val="Tahoma"/>
            <family val="2"/>
          </rPr>
          <t>Fred Turner:</t>
        </r>
        <r>
          <rPr>
            <sz val="9"/>
            <color indexed="81"/>
            <rFont val="Tahoma"/>
            <family val="2"/>
          </rPr>
          <t xml:space="preserve">
This checkbox will allow you to get random seeds, the problem with this box is that you have to re-simulate each time you want new results unless you can manually copy the seed numbers back to the input file names.</t>
        </r>
      </text>
    </comment>
    <comment ref="M1" authorId="0" shapeId="0" xr:uid="{00000000-0006-0000-0000-000003000000}">
      <text>
        <r>
          <rPr>
            <b/>
            <sz val="9"/>
            <color indexed="81"/>
            <rFont val="Tahoma"/>
            <family val="2"/>
          </rPr>
          <t>Fred Turner:</t>
        </r>
        <r>
          <rPr>
            <sz val="9"/>
            <color indexed="81"/>
            <rFont val="Tahoma"/>
            <family val="2"/>
          </rPr>
          <t xml:space="preserve">
Delta with respect to local is useful in determining the location of the RAO centre regardless of the vessels global heading.  If this box is not checked than it will be a global delta.</t>
        </r>
      </text>
    </comment>
    <comment ref="A3" authorId="1" shapeId="0" xr:uid="{A3BCF2EC-3B14-4C18-884A-865348BBF88E}">
      <text>
        <r>
          <rPr>
            <sz val="9"/>
            <color indexed="81"/>
            <rFont val="Tahoma"/>
            <family val="2"/>
          </rPr>
          <t>Required</t>
        </r>
      </text>
    </comment>
    <comment ref="H3" authorId="0" shapeId="0" xr:uid="{00000000-0006-0000-0000-000004000000}">
      <text>
        <r>
          <rPr>
            <b/>
            <sz val="9"/>
            <color indexed="81"/>
            <rFont val="Tahoma"/>
            <family val="2"/>
          </rPr>
          <t>Fred Turner:</t>
        </r>
        <r>
          <rPr>
            <sz val="9"/>
            <color indexed="81"/>
            <rFont val="Tahoma"/>
            <family val="2"/>
          </rPr>
          <t xml:space="preserve">
If these values are ommitted than the program will use whatever wave data that is in the input file names.</t>
        </r>
      </text>
    </comment>
    <comment ref="L3" authorId="0" shapeId="0" xr:uid="{00000000-0006-0000-0000-000005000000}">
      <text>
        <r>
          <rPr>
            <b/>
            <sz val="9"/>
            <color indexed="81"/>
            <rFont val="Tahoma"/>
            <family val="2"/>
          </rPr>
          <t>Fred Turner:</t>
        </r>
        <r>
          <rPr>
            <sz val="9"/>
            <color indexed="81"/>
            <rFont val="Tahoma"/>
            <family val="2"/>
          </rPr>
          <t xml:space="preserve">
Ommit setting the screening height, unless you are searching for a design wave, in which case set the design wave height, and the program will find the first design wave that is within the wave criteria of the height.  Make sure that the simulation length is long enough statistically to find a design wave.</t>
        </r>
      </text>
    </comment>
    <comment ref="A4" authorId="1" shapeId="0" xr:uid="{AEDCE4A0-F31F-4AE0-982E-6580A27DCCAC}">
      <text>
        <r>
          <rPr>
            <sz val="9"/>
            <color indexed="81"/>
            <rFont val="Tahoma"/>
            <family val="2"/>
          </rPr>
          <t>Required</t>
        </r>
      </text>
    </comment>
    <comment ref="M4" authorId="2" shapeId="0" xr:uid="{00000000-0006-0000-0000-000006000000}">
      <text>
        <r>
          <rPr>
            <b/>
            <sz val="9"/>
            <color indexed="81"/>
            <rFont val="Tahoma"/>
            <family val="2"/>
          </rPr>
          <t>If a vessel/object is selected, the delta X and delta Y would be relative to the vessel/object origin.</t>
        </r>
      </text>
    </comment>
    <comment ref="A5" authorId="1" shapeId="0" xr:uid="{1F17A76D-FF44-4D4A-8FE0-65A91269B02A}">
      <text>
        <r>
          <rPr>
            <sz val="9"/>
            <color indexed="81"/>
            <rFont val="Tahoma"/>
            <family val="2"/>
          </rPr>
          <t>Optional</t>
        </r>
      </text>
    </comment>
    <comment ref="A6" authorId="1" shapeId="0" xr:uid="{31A15B9B-D58E-4980-8756-69104CBA7710}">
      <text>
        <r>
          <rPr>
            <sz val="9"/>
            <color indexed="81"/>
            <rFont val="Tahoma"/>
            <family val="2"/>
          </rPr>
          <t>Required</t>
        </r>
      </text>
    </comment>
    <comment ref="A7" authorId="1" shapeId="0" xr:uid="{18F01FCC-B44A-49A8-9E70-B7045B9844BF}">
      <text>
        <r>
          <rPr>
            <sz val="9"/>
            <color indexed="81"/>
            <rFont val="Tahoma"/>
            <family val="2"/>
          </rPr>
          <t>Required</t>
        </r>
      </text>
    </comment>
    <comment ref="A8" authorId="1" shapeId="0" xr:uid="{28156BE0-F9EA-4480-9F54-69ED97AAE179}">
      <text>
        <r>
          <rPr>
            <sz val="9"/>
            <color indexed="81"/>
            <rFont val="Tahoma"/>
            <family val="2"/>
          </rPr>
          <t>Required</t>
        </r>
      </text>
    </comment>
    <comment ref="A9" authorId="3" shapeId="0" xr:uid="{00000000-0006-0000-0000-000007000000}">
      <text>
        <r>
          <rPr>
            <sz val="9"/>
            <color indexed="81"/>
            <rFont val="Tahoma"/>
            <family val="2"/>
          </rPr>
          <t>Including file extension
For example: Orcaflex1.xlsx</t>
        </r>
      </text>
    </comment>
    <comment ref="A12" authorId="2" shapeId="0" xr:uid="{00000000-0006-0000-0000-000008000000}">
      <text>
        <r>
          <rPr>
            <sz val="9"/>
            <color indexed="81"/>
            <rFont val="Tahoma"/>
            <family val="2"/>
          </rPr>
          <t xml:space="preserve">Maximum time between two waves of interest before the waves get broken into two separate simulations.
</t>
        </r>
      </text>
    </comment>
  </commentList>
</comments>
</file>

<file path=xl/sharedStrings.xml><?xml version="1.0" encoding="utf-8"?>
<sst xmlns="http://schemas.openxmlformats.org/spreadsheetml/2006/main" count="93" uniqueCount="54">
  <si>
    <t>IRREGULAR WAVE ANALYSIS</t>
  </si>
  <si>
    <t>Name</t>
  </si>
  <si>
    <t>delta x</t>
  </si>
  <si>
    <t>delta y</t>
  </si>
  <si>
    <t>Global</t>
  </si>
  <si>
    <t>tp</t>
  </si>
  <si>
    <t>gamma</t>
  </si>
  <si>
    <t>hs</t>
  </si>
  <si>
    <t>Input File Names</t>
  </si>
  <si>
    <t xml:space="preserve">Python file to run :                </t>
  </si>
  <si>
    <t>ToddVessel</t>
  </si>
  <si>
    <t>Sheet</t>
  </si>
  <si>
    <t>Label</t>
  </si>
  <si>
    <t>Output</t>
  </si>
  <si>
    <t>Object</t>
  </si>
  <si>
    <t>Additional</t>
  </si>
  <si>
    <t>Simulation</t>
  </si>
  <si>
    <t>Cell</t>
  </si>
  <si>
    <t>Command</t>
  </si>
  <si>
    <t>Data</t>
  </si>
  <si>
    <t>Period</t>
  </si>
  <si>
    <t>Variable</t>
  </si>
  <si>
    <t>Results</t>
  </si>
  <si>
    <t>Curvature</t>
  </si>
  <si>
    <t>Effective Tension</t>
  </si>
  <si>
    <t>post process</t>
  </si>
  <si>
    <t>Wave Criteria wrt Maximum Wave Height [%]:</t>
  </si>
  <si>
    <t>Time Step for Wave Screening [s]:</t>
  </si>
  <si>
    <t xml:space="preserve">Orcaflex DAT file input folder:                </t>
  </si>
  <si>
    <t xml:space="preserve">Post-processing template spreadsheet:                </t>
  </si>
  <si>
    <t>Post-processing template worksheet name:</t>
  </si>
  <si>
    <t xml:space="preserve">DAT File List:                </t>
  </si>
  <si>
    <t>Number of Seeds:</t>
  </si>
  <si>
    <t>Simulation Length [s]:</t>
  </si>
  <si>
    <t>Overlap data buffer btw screen chunks [s]:</t>
  </si>
  <si>
    <t xml:space="preserve">Sim files &amp; Results folder:                </t>
  </si>
  <si>
    <t>Results spreadsheet name (including file extension):</t>
  </si>
  <si>
    <t>Range Graph Max</t>
  </si>
  <si>
    <t>Reference Object</t>
  </si>
  <si>
    <t>Max. Gap btw Waves of Interest [s]:</t>
  </si>
  <si>
    <t>Comment</t>
  </si>
  <si>
    <t>If the time duration before and after the centroid index is greater than the max gap, there is possibility that multiple sims will look at the same wave</t>
  </si>
  <si>
    <t>Max. Time between any wave trough and peak [s]:</t>
  </si>
  <si>
    <t>Results of Interest:</t>
  </si>
  <si>
    <t>Load hs=8.0-tp=10.0-gam=2.0test.sim</t>
  </si>
  <si>
    <t>screening wave height</t>
  </si>
  <si>
    <t>W:\Irregular Wave Paper\Simulations\Pliant\3.5inch\Far Wave Head Seas\Irregular Screen</t>
  </si>
  <si>
    <t>FPSO</t>
  </si>
  <si>
    <t>3.5inch</t>
  </si>
  <si>
    <t>Seed1.dat</t>
  </si>
  <si>
    <t>Results2.xlsx</t>
  </si>
  <si>
    <t>W:\Irregular Wave Paper\Simulations\Pliant\3.5inch\Far Wave Head Seas\Irregular Screen\IrregWaveAnalysis_ftu.xlsm</t>
  </si>
  <si>
    <t>Results24</t>
  </si>
  <si>
    <t>R:\Corporate\2500 Engineering\Dynamic Analysis-DA\~Calculation Tools\Irregular Wave Screening Script\IrregWave9\IrregWave9.exe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</si>
</sst>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4"/>
      <color theme="1"/>
      <name val="Calibri"/>
      <family val="2"/>
      <scheme val="minor"/>
    </font>
    <font>
      <sz val="11"/>
      <color rgb="FF000000"/>
      <name val="Calibri"/>
      <family val="2"/>
    </font>
    <font>
      <sz val="11"/>
      <name val="Calibri"/>
      <family val="2"/>
      <scheme val="minor"/>
    </font>
    <font>
      <sz val="9"/>
      <color rgb="FF000000"/>
      <name val="Arial"/>
      <family val="2"/>
    </font>
    <font>
      <b/>
      <sz val="9"/>
      <color rgb="FF000000"/>
      <name val="Arial"/>
      <family val="2"/>
    </font>
    <font>
      <sz val="9"/>
      <color indexed="81"/>
      <name val="Tahoma"/>
      <family val="2"/>
    </font>
    <font>
      <b/>
      <sz val="9"/>
      <color indexed="81"/>
      <name val="Tahoma"/>
      <family val="2"/>
    </font>
    <font>
      <sz val="8"/>
      <color rgb="FF000000"/>
      <name val="Segoe UI"/>
      <family val="2"/>
    </font>
    <font>
      <sz val="9"/>
      <name val="Arial"/>
      <family val="2"/>
    </font>
  </fonts>
  <fills count="10">
    <fill>
      <patternFill patternType="none"/>
    </fill>
    <fill>
      <patternFill patternType="gray125"/>
    </fill>
    <fill>
      <patternFill patternType="solid">
        <fgColor theme="4" tint="0.599993896298104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indexed="26"/>
        <bgColor indexed="64"/>
      </patternFill>
    </fill>
    <fill>
      <patternFill patternType="solid">
        <fgColor indexed="22"/>
        <bgColor indexed="64"/>
      </patternFill>
    </fill>
    <fill>
      <patternFill patternType="solid">
        <fgColor rgb="FF00B0F0"/>
        <bgColor indexed="64"/>
      </patternFill>
    </fill>
    <fill>
      <patternFill patternType="solid">
        <fgColor theme="0" tint="-0.14999847407452621"/>
        <bgColor indexed="64"/>
      </patternFill>
    </fill>
  </fills>
  <borders count="5">
    <border>
      <left/>
      <right/>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applyAlignment="1">
      <alignment horizontal="right"/>
    </xf>
    <xf numFmtId="0" fontId="1" fillId="2" borderId="0" xfId="0" applyFont="1" applyFill="1"/>
    <xf numFmtId="0" fontId="0" fillId="0" borderId="0" xfId="0" applyFill="1"/>
    <xf numFmtId="0" fontId="0" fillId="0" borderId="0" xfId="0" applyFill="1" applyBorder="1" applyAlignment="1">
      <alignment horizontal="right"/>
    </xf>
    <xf numFmtId="0" fontId="0" fillId="3" borderId="0" xfId="0" applyFill="1"/>
    <xf numFmtId="0" fontId="0" fillId="4" borderId="0" xfId="0" applyFill="1"/>
    <xf numFmtId="0" fontId="0" fillId="5" borderId="0" xfId="0" applyFill="1"/>
    <xf numFmtId="0" fontId="0" fillId="0" borderId="0" xfId="0" applyBorder="1"/>
    <xf numFmtId="0" fontId="3" fillId="0" borderId="0" xfId="0" applyFont="1"/>
    <xf numFmtId="0" fontId="4" fillId="0" borderId="0" xfId="0" applyFont="1" applyAlignment="1">
      <alignment horizontal="left"/>
    </xf>
    <xf numFmtId="0" fontId="4" fillId="0" borderId="0" xfId="0" applyFont="1"/>
    <xf numFmtId="0" fontId="5" fillId="6" borderId="1" xfId="0" applyFont="1" applyFill="1" applyBorder="1" applyAlignment="1">
      <alignment horizontal="center"/>
    </xf>
    <xf numFmtId="0" fontId="5" fillId="6" borderId="2" xfId="0" applyFont="1" applyFill="1" applyBorder="1" applyAlignment="1">
      <alignment horizontal="center"/>
    </xf>
    <xf numFmtId="0" fontId="5" fillId="6" borderId="1" xfId="0" applyFont="1" applyFill="1" applyBorder="1"/>
    <xf numFmtId="0" fontId="5" fillId="6" borderId="3" xfId="0" applyFont="1" applyFill="1" applyBorder="1" applyAlignment="1">
      <alignment horizontal="center"/>
    </xf>
    <xf numFmtId="0" fontId="5" fillId="6" borderId="4" xfId="0" applyFont="1" applyFill="1" applyBorder="1" applyAlignment="1">
      <alignment horizontal="center"/>
    </xf>
    <xf numFmtId="0" fontId="4" fillId="7" borderId="0" xfId="0" applyFont="1" applyFill="1" applyAlignment="1">
      <alignment horizontal="left"/>
    </xf>
    <xf numFmtId="0" fontId="5" fillId="7" borderId="0" xfId="0" applyFont="1" applyFill="1" applyAlignment="1">
      <alignment horizontal="left"/>
    </xf>
    <xf numFmtId="0" fontId="0" fillId="8" borderId="0" xfId="0" applyFill="1"/>
    <xf numFmtId="0" fontId="0" fillId="0" borderId="0" xfId="0" applyAlignment="1">
      <alignment horizontal="center" vertical="center"/>
    </xf>
    <xf numFmtId="0" fontId="9" fillId="9" borderId="0" xfId="0" applyFont="1" applyFill="1" applyAlignment="1">
      <alignment horizontal="left"/>
    </xf>
    <xf numFmtId="0" fontId="9" fillId="9" borderId="0" xfId="0" applyFont="1" applyFill="1" applyAlignment="1">
      <alignment horizontal="center"/>
    </xf>
    <xf numFmtId="0" fontId="0" fillId="0" borderId="0" xfId="0"/>
    <xf numFmtId="0" fontId="0" fillId="0" borderId="0" xfId="0" applyAlignment="1">
      <alignment horizontal="center"/>
    </xf>
    <xf numFmtId="0" fontId="9" fillId="9" borderId="0" xfId="0" applyFont="1" applyFill="1" applyAlignment="1">
      <alignment horizontal="left"/>
    </xf>
    <xf numFmtId="0" fontId="9" fillId="9" borderId="0" xfId="0" applyFont="1"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D$10" lockText="1" noThreeD="1"/>
</file>

<file path=xl/ctrlProps/ctrlProp10.xml><?xml version="1.0" encoding="utf-8"?>
<formControlPr xmlns="http://schemas.microsoft.com/office/spreadsheetml/2009/9/main" objectType="CheckBox" checked="Checked" fmlaLink="$D$11" lockText="1" noThreeD="1"/>
</file>

<file path=xl/ctrlProps/ctrlProp11.xml><?xml version="1.0" encoding="utf-8"?>
<formControlPr xmlns="http://schemas.microsoft.com/office/spreadsheetml/2009/9/main" objectType="CheckBox" checked="Checked" fmlaLink="$D$12" lockText="1" noThreeD="1"/>
</file>

<file path=xl/ctrlProps/ctrlProp12.xml><?xml version="1.0" encoding="utf-8"?>
<formControlPr xmlns="http://schemas.microsoft.com/office/spreadsheetml/2009/9/main" objectType="CheckBox" checked="Checked" fmlaLink="$D$13" lockText="1" noThreeD="1"/>
</file>

<file path=xl/ctrlProps/ctrlProp13.xml><?xml version="1.0" encoding="utf-8"?>
<formControlPr xmlns="http://schemas.microsoft.com/office/spreadsheetml/2009/9/main" objectType="CheckBox" checked="Checked" fmlaLink="$D$14" lockText="1" noThreeD="1"/>
</file>

<file path=xl/ctrlProps/ctrlProp14.xml><?xml version="1.0" encoding="utf-8"?>
<formControlPr xmlns="http://schemas.microsoft.com/office/spreadsheetml/2009/9/main" objectType="CheckBox" checked="Checked" fmlaLink="$D$15" lockText="1" noThreeD="1"/>
</file>

<file path=xl/ctrlProps/ctrlProp15.xml><?xml version="1.0" encoding="utf-8"?>
<formControlPr xmlns="http://schemas.microsoft.com/office/spreadsheetml/2009/9/main" objectType="CheckBox" checked="Checked" fmlaLink="$D$16" lockText="1" noThreeD="1"/>
</file>

<file path=xl/ctrlProps/ctrlProp16.xml><?xml version="1.0" encoding="utf-8"?>
<formControlPr xmlns="http://schemas.microsoft.com/office/spreadsheetml/2009/9/main" objectType="CheckBox" checked="Checked" fmlaLink="$D$17" lockText="1" noThreeD="1"/>
</file>

<file path=xl/ctrlProps/ctrlProp17.xml><?xml version="1.0" encoding="utf-8"?>
<formControlPr xmlns="http://schemas.microsoft.com/office/spreadsheetml/2009/9/main" objectType="CheckBox" checked="Checked" fmlaLink="$D$18" lockText="1" noThreeD="1"/>
</file>

<file path=xl/ctrlProps/ctrlProp18.xml><?xml version="1.0" encoding="utf-8"?>
<formControlPr xmlns="http://schemas.microsoft.com/office/spreadsheetml/2009/9/main" objectType="CheckBox" checked="Checked" fmlaLink="$D$19" lockText="1" noThreeD="1"/>
</file>

<file path=xl/ctrlProps/ctrlProp19.xml><?xml version="1.0" encoding="utf-8"?>
<formControlPr xmlns="http://schemas.microsoft.com/office/spreadsheetml/2009/9/main" objectType="CheckBox" fmlaLink="$D$20" lockText="1" noThreeD="1"/>
</file>

<file path=xl/ctrlProps/ctrlProp20.xml><?xml version="1.0" encoding="utf-8"?>
<formControlPr xmlns="http://schemas.microsoft.com/office/spreadsheetml/2009/9/main" objectType="CheckBox" checked="Checked" fmlaLink="$D$21" lockText="1" noThreeD="1"/>
</file>

<file path=xl/ctrlProps/ctrlProp21.xml><?xml version="1.0" encoding="utf-8"?>
<formControlPr xmlns="http://schemas.microsoft.com/office/spreadsheetml/2009/9/main" objectType="CheckBox" fmlaLink="$D$22" lockText="1" noThreeD="1"/>
</file>

<file path=xl/ctrlProps/ctrlProp22.xml><?xml version="1.0" encoding="utf-8"?>
<formControlPr xmlns="http://schemas.microsoft.com/office/spreadsheetml/2009/9/main" objectType="CheckBox" fmlaLink="$D$2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2971800</xdr:colOff>
          <xdr:row>3</xdr:row>
          <xdr:rowOff>19050</xdr:rowOff>
        </xdr:from>
        <xdr:to>
          <xdr:col>0</xdr:col>
          <xdr:colOff>3257550</xdr:colOff>
          <xdr:row>3</xdr:row>
          <xdr:rowOff>171450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2971800</xdr:colOff>
          <xdr:row>7</xdr:row>
          <xdr:rowOff>19050</xdr:rowOff>
        </xdr:from>
        <xdr:to>
          <xdr:col>0</xdr:col>
          <xdr:colOff>3257550</xdr:colOff>
          <xdr:row>7</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2971800</xdr:colOff>
          <xdr:row>4</xdr:row>
          <xdr:rowOff>19050</xdr:rowOff>
        </xdr:from>
        <xdr:to>
          <xdr:col>0</xdr:col>
          <xdr:colOff>3257550</xdr:colOff>
          <xdr:row>4</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219075</xdr:colOff>
          <xdr:row>18</xdr:row>
          <xdr:rowOff>28575</xdr:rowOff>
        </xdr:from>
        <xdr:to>
          <xdr:col>0</xdr:col>
          <xdr:colOff>1104900</xdr:colOff>
          <xdr:row>19</xdr:row>
          <xdr:rowOff>133350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000-00000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Python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2971800</xdr:colOff>
          <xdr:row>2</xdr:row>
          <xdr:rowOff>19050</xdr:rowOff>
        </xdr:from>
        <xdr:to>
          <xdr:col>0</xdr:col>
          <xdr:colOff>3257550</xdr:colOff>
          <xdr:row>2</xdr:row>
          <xdr:rowOff>171450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000-00000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1533525</xdr:colOff>
          <xdr:row>18</xdr:row>
          <xdr:rowOff>28575</xdr:rowOff>
        </xdr:from>
        <xdr:to>
          <xdr:col>0</xdr:col>
          <xdr:colOff>2809875</xdr:colOff>
          <xdr:row>19</xdr:row>
          <xdr:rowOff>133350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000-00001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Sync with Base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2971800</xdr:colOff>
          <xdr:row>5</xdr:row>
          <xdr:rowOff>19050</xdr:rowOff>
        </xdr:from>
        <xdr:to>
          <xdr:col>0</xdr:col>
          <xdr:colOff>3257550</xdr:colOff>
          <xdr:row>5</xdr:row>
          <xdr:rowOff>171450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000-00001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3209925</xdr:colOff>
          <xdr:row>18</xdr:row>
          <xdr:rowOff>19050</xdr:rowOff>
        </xdr:from>
        <xdr:to>
          <xdr:col>1</xdr:col>
          <xdr:colOff>1057275</xdr:colOff>
          <xdr:row>19</xdr:row>
          <xdr:rowOff>123825</xdr:rowOff>
        </xdr:to>
        <xdr:sp macro="" textlink="">
          <xdr:nvSpPr>
            <xdr:cNvPr id="6174" name="Button 30" hidden="1">
              <a:extLst>
                <a:ext uri="{63B3BB69-23CF-44E3-9099-C40C66FF867C}">
                  <a14:compatExt spid="_x0000_s6174"/>
                </a:ext>
                <a:ext uri="{FF2B5EF4-FFF2-40B4-BE49-F238E27FC236}">
                  <a16:creationId xmlns:a16="http://schemas.microsoft.com/office/drawing/2014/main" id="{00000000-0008-0000-0000-00001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Results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85725</xdr:rowOff>
        </xdr:from>
        <xdr:to>
          <xdr:col>8</xdr:col>
          <xdr:colOff>466725</xdr:colOff>
          <xdr:row>1</xdr:row>
          <xdr:rowOff>171450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0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One for One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114300</xdr:colOff>
          <xdr:row>15</xdr:row>
          <xdr:rowOff>171450</xdr:rowOff>
        </xdr:from>
        <xdr:to>
          <xdr:col>1</xdr:col>
          <xdr:colOff>657225</xdr:colOff>
          <xdr:row>17</xdr:row>
          <xdr:rowOff>19050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0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600075</xdr:colOff>
          <xdr:row>15</xdr:row>
          <xdr:rowOff>171450</xdr:rowOff>
        </xdr:from>
        <xdr:to>
          <xdr:col>1</xdr:col>
          <xdr:colOff>1095375</xdr:colOff>
          <xdr:row>17</xdr:row>
          <xdr:rowOff>19050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0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1057275</xdr:colOff>
          <xdr:row>15</xdr:row>
          <xdr:rowOff>171450</xdr:rowOff>
        </xdr:from>
        <xdr:to>
          <xdr:col>1</xdr:col>
          <xdr:colOff>1600200</xdr:colOff>
          <xdr:row>17</xdr:row>
          <xdr:rowOff>19050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0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Mean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1600200</xdr:colOff>
          <xdr:row>15</xdr:row>
          <xdr:rowOff>171450</xdr:rowOff>
        </xdr:from>
        <xdr:to>
          <xdr:col>1</xdr:col>
          <xdr:colOff>2362200</xdr:colOff>
          <xdr:row>17</xdr:row>
          <xdr:rowOff>19050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0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Max Mode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2352675</xdr:colOff>
          <xdr:row>15</xdr:row>
          <xdr:rowOff>171450</xdr:rowOff>
        </xdr:from>
        <xdr:to>
          <xdr:col>1</xdr:col>
          <xdr:colOff>3105150</xdr:colOff>
          <xdr:row>17</xdr:row>
          <xdr:rowOff>19050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0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 Mode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3086100</xdr:colOff>
          <xdr:row>15</xdr:row>
          <xdr:rowOff>171450</xdr:rowOff>
        </xdr:from>
        <xdr:to>
          <xdr:col>1</xdr:col>
          <xdr:colOff>3838575</xdr:colOff>
          <xdr:row>17</xdr:row>
          <xdr:rowOff>19050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0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Median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3705225</xdr:colOff>
          <xdr:row>15</xdr:row>
          <xdr:rowOff>171450</xdr:rowOff>
        </xdr:from>
        <xdr:to>
          <xdr:col>1</xdr:col>
          <xdr:colOff>4752975</xdr:colOff>
          <xdr:row>17</xdr:row>
          <xdr:rowOff>19050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0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95% Min Median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4762500</xdr:colOff>
          <xdr:row>15</xdr:row>
          <xdr:rowOff>171450</xdr:rowOff>
        </xdr:from>
        <xdr:to>
          <xdr:col>1</xdr:col>
          <xdr:colOff>5829300</xdr:colOff>
          <xdr:row>17</xdr:row>
          <xdr:rowOff>19050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0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95% Max Median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5829300</xdr:colOff>
          <xdr:row>15</xdr:row>
          <xdr:rowOff>171450</xdr:rowOff>
        </xdr:from>
        <xdr:to>
          <xdr:col>1</xdr:col>
          <xdr:colOff>6581775</xdr:colOff>
          <xdr:row>17</xdr:row>
          <xdr:rowOff>19050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0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Raw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0</xdr:row>
          <xdr:rowOff>47625</xdr:rowOff>
        </xdr:from>
        <xdr:to>
          <xdr:col>14</xdr:col>
          <xdr:colOff>142875</xdr:colOff>
          <xdr:row>1</xdr:row>
          <xdr:rowOff>133350</xdr:rowOff>
        </xdr:to>
        <xdr:sp macro="" textlink="">
          <xdr:nvSpPr>
            <xdr:cNvPr id="6192" name="Check Box 48" descr="delta with respect to local object" hidden="1">
              <a:extLst>
                <a:ext uri="{63B3BB69-23CF-44E3-9099-C40C66FF867C}">
                  <a14:compatExt spid="_x0000_s6192"/>
                </a:ext>
                <a:ext uri="{FF2B5EF4-FFF2-40B4-BE49-F238E27FC236}">
                  <a16:creationId xmlns:a16="http://schemas.microsoft.com/office/drawing/2014/main" id="{00000000-0008-0000-00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Delta wrt Local Reference Axis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0</xdr:row>
          <xdr:rowOff>85725</xdr:rowOff>
        </xdr:from>
        <xdr:to>
          <xdr:col>10</xdr:col>
          <xdr:colOff>314325</xdr:colOff>
          <xdr:row>1</xdr:row>
          <xdr:rowOff>171450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0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Randomize Seeds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6572250</xdr:colOff>
          <xdr:row>15</xdr:row>
          <xdr:rowOff>171450</xdr:rowOff>
        </xdr:from>
        <xdr:to>
          <xdr:col>1</xdr:col>
          <xdr:colOff>7762875</xdr:colOff>
          <xdr:row>17</xdr:row>
          <xdr:rowOff>19050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0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Gumbel Most Likely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7820025</xdr:colOff>
          <xdr:row>15</xdr:row>
          <xdr:rowOff>171450</xdr:rowOff>
        </xdr:from>
        <xdr:to>
          <xdr:col>3</xdr:col>
          <xdr:colOff>533400</xdr:colOff>
          <xdr:row>17</xdr:row>
          <xdr:rowOff>19050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0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Gumbel Least Squares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03"/>
  <sheetViews>
    <sheetView tabSelected="1" zoomScale="70" zoomScaleNormal="70" workbookViewId="0"/>
  </sheetViews>
  <sheetFormatPr defaultRowHeight="15" x14ac:dyDescent="0.25"/>
  <cols>
    <col min="1" max="1" width="49.7109375" bestFit="1" customWidth="1"/>
    <col min="2" max="2" width="122.7109375" bestFit="1" customWidth="1"/>
    <col min="3" max="3" width="5.7109375" customWidth="1"/>
    <col min="4" max="4" width="22.42578125" customWidth="1"/>
    <col min="5" max="5" width="5.7109375" customWidth="1"/>
    <col min="6" max="6" width="32.28515625" customWidth="1"/>
    <col min="7" max="7" width="3" customWidth="1"/>
    <col min="9" max="9" width="12.5703125" customWidth="1"/>
    <col min="10" max="10" width="9.28515625" customWidth="1"/>
    <col min="12" max="12" width="27.42578125" customWidth="1"/>
    <col min="13" max="13" width="16.5703125" bestFit="1" customWidth="1"/>
    <col min="16" max="16" width="2.5703125" customWidth="1"/>
  </cols>
  <sheetData>
    <row r="1" spans="1:16" ht="18.75" x14ac:dyDescent="0.3">
      <c r="A1" s="2" t="s">
        <v>0</v>
      </c>
      <c r="M1" s="3"/>
    </row>
    <row r="2" spans="1:16" ht="21" customHeight="1" x14ac:dyDescent="0.25"/>
    <row r="3" spans="1:16" ht="14.25" customHeight="1" x14ac:dyDescent="0.25">
      <c r="A3" s="1" t="s">
        <v>9</v>
      </c>
      <c r="B3" t="s">
        <v>53</v>
      </c>
      <c r="C3" s="3"/>
      <c r="D3" s="3">
        <v>4</v>
      </c>
      <c r="E3" s="3"/>
      <c r="F3" s="7" t="s">
        <v>8</v>
      </c>
      <c r="G3" s="3"/>
      <c r="H3" s="6" t="s">
        <v>1</v>
      </c>
      <c r="I3" s="6" t="s">
        <v>7</v>
      </c>
      <c r="J3" s="6" t="s">
        <v>5</v>
      </c>
      <c r="K3" s="6" t="s">
        <v>6</v>
      </c>
      <c r="L3" s="19" t="s">
        <v>45</v>
      </c>
      <c r="M3" s="5" t="s">
        <v>38</v>
      </c>
      <c r="N3" s="5" t="s">
        <v>2</v>
      </c>
      <c r="O3" s="5" t="s">
        <v>3</v>
      </c>
      <c r="P3" s="3"/>
    </row>
    <row r="4" spans="1:16" ht="14.25" customHeight="1" x14ac:dyDescent="0.25">
      <c r="A4" s="1" t="s">
        <v>28</v>
      </c>
      <c r="D4">
        <v>3</v>
      </c>
      <c r="E4" s="20"/>
      <c r="F4" t="s">
        <v>49</v>
      </c>
      <c r="M4" s="8" t="s">
        <v>47</v>
      </c>
      <c r="N4">
        <v>0</v>
      </c>
      <c r="O4">
        <v>0</v>
      </c>
    </row>
    <row r="5" spans="1:16" x14ac:dyDescent="0.25">
      <c r="A5" s="1" t="s">
        <v>31</v>
      </c>
      <c r="D5">
        <v>4</v>
      </c>
      <c r="F5" s="23"/>
      <c r="H5" s="23"/>
      <c r="I5" s="23"/>
      <c r="J5" s="23"/>
      <c r="K5" s="23"/>
      <c r="M5" s="8"/>
    </row>
    <row r="6" spans="1:16" x14ac:dyDescent="0.25">
      <c r="A6" s="1" t="s">
        <v>29</v>
      </c>
      <c r="B6" t="s">
        <v>51</v>
      </c>
      <c r="D6" t="s">
        <v>52</v>
      </c>
      <c r="M6" s="8"/>
    </row>
    <row r="7" spans="1:16" x14ac:dyDescent="0.25">
      <c r="A7" s="1" t="s">
        <v>30</v>
      </c>
      <c r="B7" t="s">
        <v>25</v>
      </c>
      <c r="M7" s="8"/>
    </row>
    <row r="8" spans="1:16" x14ac:dyDescent="0.25">
      <c r="A8" s="4" t="s">
        <v>35</v>
      </c>
      <c r="B8" t="s">
        <v>46</v>
      </c>
      <c r="M8" s="8"/>
    </row>
    <row r="9" spans="1:16" x14ac:dyDescent="0.25">
      <c r="A9" s="1" t="s">
        <v>36</v>
      </c>
      <c r="B9" t="s">
        <v>50</v>
      </c>
      <c r="M9" s="8"/>
    </row>
    <row r="10" spans="1:16" x14ac:dyDescent="0.25">
      <c r="A10" s="1" t="s">
        <v>33</v>
      </c>
      <c r="B10" s="24">
        <v>10800</v>
      </c>
      <c r="D10" t="b">
        <v>0</v>
      </c>
      <c r="M10" s="8"/>
    </row>
    <row r="11" spans="1:16" x14ac:dyDescent="0.25">
      <c r="A11" s="1" t="s">
        <v>32</v>
      </c>
      <c r="B11" s="24">
        <v>10</v>
      </c>
      <c r="D11" t="b">
        <v>1</v>
      </c>
      <c r="M11" s="8"/>
    </row>
    <row r="12" spans="1:16" x14ac:dyDescent="0.25">
      <c r="A12" s="1" t="s">
        <v>39</v>
      </c>
      <c r="B12" s="24">
        <v>20</v>
      </c>
      <c r="D12" t="b">
        <v>1</v>
      </c>
      <c r="M12" s="8"/>
    </row>
    <row r="13" spans="1:16" x14ac:dyDescent="0.25">
      <c r="A13" s="1" t="s">
        <v>26</v>
      </c>
      <c r="B13" s="24">
        <v>95</v>
      </c>
      <c r="D13" t="b">
        <v>1</v>
      </c>
      <c r="M13" s="8"/>
    </row>
    <row r="14" spans="1:16" x14ac:dyDescent="0.25">
      <c r="A14" s="1" t="s">
        <v>27</v>
      </c>
      <c r="B14" s="24">
        <v>0.2</v>
      </c>
      <c r="D14" t="b">
        <v>1</v>
      </c>
      <c r="M14" s="8"/>
    </row>
    <row r="15" spans="1:16" x14ac:dyDescent="0.25">
      <c r="A15" s="4" t="s">
        <v>42</v>
      </c>
      <c r="B15" s="24">
        <v>20</v>
      </c>
      <c r="D15" t="b">
        <v>1</v>
      </c>
      <c r="M15" s="8"/>
    </row>
    <row r="16" spans="1:16" x14ac:dyDescent="0.25">
      <c r="A16" s="1" t="s">
        <v>34</v>
      </c>
      <c r="B16" s="24">
        <v>30</v>
      </c>
      <c r="D16" t="b">
        <v>1</v>
      </c>
      <c r="M16" s="8"/>
    </row>
    <row r="17" spans="1:13" x14ac:dyDescent="0.25">
      <c r="A17" s="1" t="s">
        <v>43</v>
      </c>
      <c r="D17" t="b">
        <v>1</v>
      </c>
      <c r="M17" s="8"/>
    </row>
    <row r="18" spans="1:13" x14ac:dyDescent="0.25">
      <c r="D18" t="b">
        <v>1</v>
      </c>
      <c r="M18" s="8"/>
    </row>
    <row r="19" spans="1:13" x14ac:dyDescent="0.25">
      <c r="D19" t="b">
        <v>1</v>
      </c>
    </row>
    <row r="20" spans="1:13" x14ac:dyDescent="0.25">
      <c r="D20" t="b">
        <v>0</v>
      </c>
    </row>
    <row r="21" spans="1:13" x14ac:dyDescent="0.25">
      <c r="D21" t="b">
        <v>1</v>
      </c>
      <c r="M21" s="8"/>
    </row>
    <row r="22" spans="1:13" x14ac:dyDescent="0.25">
      <c r="A22" t="s">
        <v>40</v>
      </c>
      <c r="B22" s="9"/>
      <c r="D22" t="b">
        <v>0</v>
      </c>
      <c r="M22" s="8"/>
    </row>
    <row r="23" spans="1:13" x14ac:dyDescent="0.25">
      <c r="A23" t="s">
        <v>41</v>
      </c>
      <c r="D23" t="b">
        <v>0</v>
      </c>
      <c r="M23" s="8"/>
    </row>
    <row r="24" spans="1:13" x14ac:dyDescent="0.25">
      <c r="M24" s="8"/>
    </row>
    <row r="25" spans="1:13" x14ac:dyDescent="0.25">
      <c r="M25" s="8"/>
    </row>
    <row r="26" spans="1:13" x14ac:dyDescent="0.25">
      <c r="M26" s="8"/>
    </row>
    <row r="27" spans="1:13" x14ac:dyDescent="0.25">
      <c r="M27" s="8"/>
    </row>
    <row r="28" spans="1:13" x14ac:dyDescent="0.25">
      <c r="M28" s="8"/>
    </row>
    <row r="29" spans="1:13" x14ac:dyDescent="0.25">
      <c r="M29" s="8"/>
    </row>
    <row r="30" spans="1:13" x14ac:dyDescent="0.25">
      <c r="M30" s="8"/>
    </row>
    <row r="31" spans="1:13" x14ac:dyDescent="0.25">
      <c r="M31" s="8"/>
    </row>
    <row r="32" spans="1:13" x14ac:dyDescent="0.25">
      <c r="M32" s="8"/>
    </row>
    <row r="33" spans="13:13" x14ac:dyDescent="0.25">
      <c r="M33" s="8"/>
    </row>
    <row r="34" spans="13:13" x14ac:dyDescent="0.25">
      <c r="M34" s="8"/>
    </row>
    <row r="35" spans="13:13" x14ac:dyDescent="0.25">
      <c r="M35" s="8"/>
    </row>
    <row r="36" spans="13:13" x14ac:dyDescent="0.25">
      <c r="M36" s="8"/>
    </row>
    <row r="37" spans="13:13" x14ac:dyDescent="0.25">
      <c r="M37" s="8"/>
    </row>
    <row r="38" spans="13:13" x14ac:dyDescent="0.25">
      <c r="M38" s="8"/>
    </row>
    <row r="39" spans="13:13" x14ac:dyDescent="0.25">
      <c r="M39" s="8"/>
    </row>
    <row r="40" spans="13:13" x14ac:dyDescent="0.25">
      <c r="M40" s="8"/>
    </row>
    <row r="41" spans="13:13" x14ac:dyDescent="0.25">
      <c r="M41" s="8"/>
    </row>
    <row r="42" spans="13:13" x14ac:dyDescent="0.25">
      <c r="M42" s="8"/>
    </row>
    <row r="43" spans="13:13" x14ac:dyDescent="0.25">
      <c r="M43" s="8"/>
    </row>
    <row r="44" spans="13:13" x14ac:dyDescent="0.25">
      <c r="M44" s="8"/>
    </row>
    <row r="45" spans="13:13" x14ac:dyDescent="0.25">
      <c r="M45" s="8"/>
    </row>
    <row r="46" spans="13:13" x14ac:dyDescent="0.25">
      <c r="M46" s="8"/>
    </row>
    <row r="47" spans="13:13" x14ac:dyDescent="0.25">
      <c r="M47" s="8"/>
    </row>
    <row r="48" spans="13:13" x14ac:dyDescent="0.25">
      <c r="M48" s="8"/>
    </row>
    <row r="49" spans="13:13" x14ac:dyDescent="0.25">
      <c r="M49" s="8"/>
    </row>
    <row r="50" spans="13:13" x14ac:dyDescent="0.25">
      <c r="M50" s="8"/>
    </row>
    <row r="51" spans="13:13" x14ac:dyDescent="0.25">
      <c r="M51" s="8"/>
    </row>
    <row r="52" spans="13:13" x14ac:dyDescent="0.25">
      <c r="M52" s="8"/>
    </row>
    <row r="53" spans="13:13" x14ac:dyDescent="0.25">
      <c r="M53" s="8"/>
    </row>
    <row r="54" spans="13:13" x14ac:dyDescent="0.25">
      <c r="M54" s="8"/>
    </row>
    <row r="55" spans="13:13" x14ac:dyDescent="0.25">
      <c r="M55" s="8"/>
    </row>
    <row r="56" spans="13:13" x14ac:dyDescent="0.25">
      <c r="M56" s="8"/>
    </row>
    <row r="57" spans="13:13" x14ac:dyDescent="0.25">
      <c r="M57" s="8"/>
    </row>
    <row r="58" spans="13:13" x14ac:dyDescent="0.25">
      <c r="M58" s="8"/>
    </row>
    <row r="59" spans="13:13" x14ac:dyDescent="0.25">
      <c r="M59" s="8"/>
    </row>
    <row r="60" spans="13:13" x14ac:dyDescent="0.25">
      <c r="M60" s="8"/>
    </row>
    <row r="61" spans="13:13" x14ac:dyDescent="0.25">
      <c r="M61" s="8"/>
    </row>
    <row r="62" spans="13:13" x14ac:dyDescent="0.25">
      <c r="M62" s="8"/>
    </row>
    <row r="63" spans="13:13" x14ac:dyDescent="0.25">
      <c r="M63" s="8"/>
    </row>
    <row r="64" spans="13:13" x14ac:dyDescent="0.25">
      <c r="M64" s="8"/>
    </row>
    <row r="65" spans="13:13" x14ac:dyDescent="0.25">
      <c r="M65" s="8"/>
    </row>
    <row r="66" spans="13:13" x14ac:dyDescent="0.25">
      <c r="M66" s="8"/>
    </row>
    <row r="67" spans="13:13" x14ac:dyDescent="0.25">
      <c r="M67" s="8"/>
    </row>
    <row r="68" spans="13:13" x14ac:dyDescent="0.25">
      <c r="M68" s="8"/>
    </row>
    <row r="69" spans="13:13" x14ac:dyDescent="0.25">
      <c r="M69" s="8"/>
    </row>
    <row r="70" spans="13:13" x14ac:dyDescent="0.25">
      <c r="M70" s="8"/>
    </row>
    <row r="71" spans="13:13" x14ac:dyDescent="0.25">
      <c r="M71" s="8"/>
    </row>
    <row r="72" spans="13:13" x14ac:dyDescent="0.25">
      <c r="M72" s="8"/>
    </row>
    <row r="73" spans="13:13" x14ac:dyDescent="0.25">
      <c r="M73" s="8"/>
    </row>
    <row r="74" spans="13:13" x14ac:dyDescent="0.25">
      <c r="M74" s="8"/>
    </row>
    <row r="75" spans="13:13" x14ac:dyDescent="0.25">
      <c r="M75" s="8"/>
    </row>
    <row r="76" spans="13:13" x14ac:dyDescent="0.25">
      <c r="M76" s="8"/>
    </row>
    <row r="77" spans="13:13" x14ac:dyDescent="0.25">
      <c r="M77" s="8"/>
    </row>
    <row r="78" spans="13:13" x14ac:dyDescent="0.25">
      <c r="M78" s="8"/>
    </row>
    <row r="79" spans="13:13" x14ac:dyDescent="0.25">
      <c r="M79" s="8"/>
    </row>
    <row r="80" spans="13:13" x14ac:dyDescent="0.25">
      <c r="M80" s="8"/>
    </row>
    <row r="81" spans="13:13" x14ac:dyDescent="0.25">
      <c r="M81" s="8"/>
    </row>
    <row r="82" spans="13:13" x14ac:dyDescent="0.25">
      <c r="M82" s="8"/>
    </row>
    <row r="83" spans="13:13" x14ac:dyDescent="0.25">
      <c r="M83" s="8"/>
    </row>
    <row r="84" spans="13:13" x14ac:dyDescent="0.25">
      <c r="M84" s="8"/>
    </row>
    <row r="85" spans="13:13" x14ac:dyDescent="0.25">
      <c r="M85" s="8"/>
    </row>
    <row r="86" spans="13:13" x14ac:dyDescent="0.25">
      <c r="M86" s="8"/>
    </row>
    <row r="87" spans="13:13" x14ac:dyDescent="0.25">
      <c r="M87" s="8"/>
    </row>
    <row r="88" spans="13:13" x14ac:dyDescent="0.25">
      <c r="M88" s="8"/>
    </row>
    <row r="89" spans="13:13" x14ac:dyDescent="0.25">
      <c r="M89" s="8"/>
    </row>
    <row r="90" spans="13:13" x14ac:dyDescent="0.25">
      <c r="M90" s="8"/>
    </row>
    <row r="91" spans="13:13" x14ac:dyDescent="0.25">
      <c r="M91" s="8"/>
    </row>
    <row r="92" spans="13:13" x14ac:dyDescent="0.25">
      <c r="M92" s="8"/>
    </row>
    <row r="93" spans="13:13" x14ac:dyDescent="0.25">
      <c r="M93" s="8"/>
    </row>
    <row r="94" spans="13:13" x14ac:dyDescent="0.25">
      <c r="M94" s="8"/>
    </row>
    <row r="95" spans="13:13" x14ac:dyDescent="0.25">
      <c r="M95" s="8"/>
    </row>
    <row r="96" spans="13:13" x14ac:dyDescent="0.25">
      <c r="M96" s="8"/>
    </row>
    <row r="97" spans="13:13" x14ac:dyDescent="0.25">
      <c r="M97" s="8"/>
    </row>
    <row r="98" spans="13:13" x14ac:dyDescent="0.25">
      <c r="M98" s="8"/>
    </row>
    <row r="99" spans="13:13" x14ac:dyDescent="0.25">
      <c r="M99" s="8"/>
    </row>
    <row r="100" spans="13:13" x14ac:dyDescent="0.25">
      <c r="M100" s="8"/>
    </row>
    <row r="101" spans="13:13" x14ac:dyDescent="0.25">
      <c r="M101" s="8"/>
    </row>
    <row r="102" spans="13:13" x14ac:dyDescent="0.25">
      <c r="M102" s="8"/>
    </row>
    <row r="103" spans="13:13" x14ac:dyDescent="0.25">
      <c r="M103" s="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InputFolder_Click">
                <anchor moveWithCells="1" sizeWithCells="1">
                  <from>
                    <xdr:col>0</xdr:col>
                    <xdr:colOff>2971800</xdr:colOff>
                    <xdr:row>3</xdr:row>
                    <xdr:rowOff>19050</xdr:rowOff>
                  </from>
                  <to>
                    <xdr:col>0</xdr:col>
                    <xdr:colOff>3257550</xdr:colOff>
                    <xdr:row>3</xdr:row>
                    <xdr:rowOff>171450</xdr:rowOff>
                  </to>
                </anchor>
              </controlPr>
            </control>
          </mc:Choice>
        </mc:AlternateContent>
        <mc:AlternateContent xmlns:mc="http://schemas.openxmlformats.org/markup-compatibility/2006">
          <mc:Choice Requires="x14">
            <control shapeId="6146" r:id="rId5" name="Button 2">
              <controlPr defaultSize="0" print="0" autoFill="0" autoPict="0" macro="[0]!OutputFolder_Click">
                <anchor moveWithCells="1" sizeWithCells="1">
                  <from>
                    <xdr:col>0</xdr:col>
                    <xdr:colOff>2971800</xdr:colOff>
                    <xdr:row>7</xdr:row>
                    <xdr:rowOff>19050</xdr:rowOff>
                  </from>
                  <to>
                    <xdr:col>0</xdr:col>
                    <xdr:colOff>3257550</xdr:colOff>
                    <xdr:row>7</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Select_File_Or_Files_Windows">
                <anchor moveWithCells="1" sizeWithCells="1">
                  <from>
                    <xdr:col>0</xdr:col>
                    <xdr:colOff>2971800</xdr:colOff>
                    <xdr:row>4</xdr:row>
                    <xdr:rowOff>19050</xdr:rowOff>
                  </from>
                  <to>
                    <xdr:col>0</xdr:col>
                    <xdr:colOff>3257550</xdr:colOff>
                    <xdr:row>4</xdr:row>
                    <xdr:rowOff>171450</xdr:rowOff>
                  </to>
                </anchor>
              </controlPr>
            </control>
          </mc:Choice>
        </mc:AlternateContent>
        <mc:AlternateContent xmlns:mc="http://schemas.openxmlformats.org/markup-compatibility/2006">
          <mc:Choice Requires="x14">
            <control shapeId="6155" r:id="rId7" name="Button 11">
              <controlPr defaultSize="0" print="0" autoFill="0" autoPict="0" macro="[0]!RunPython">
                <anchor>
                  <from>
                    <xdr:col>0</xdr:col>
                    <xdr:colOff>219075</xdr:colOff>
                    <xdr:row>18</xdr:row>
                    <xdr:rowOff>28575</xdr:rowOff>
                  </from>
                  <to>
                    <xdr:col>0</xdr:col>
                    <xdr:colOff>1104900</xdr:colOff>
                    <xdr:row>19</xdr:row>
                    <xdr:rowOff>133350</xdr:rowOff>
                  </to>
                </anchor>
              </controlPr>
            </control>
          </mc:Choice>
        </mc:AlternateContent>
        <mc:AlternateContent xmlns:mc="http://schemas.openxmlformats.org/markup-compatibility/2006">
          <mc:Choice Requires="x14">
            <control shapeId="6157" r:id="rId8" name="Button 13">
              <controlPr defaultSize="0" print="0" autoFill="0" autoPict="0" macro="[0]!PythonFileLoc_Click">
                <anchor moveWithCells="1" sizeWithCells="1">
                  <from>
                    <xdr:col>0</xdr:col>
                    <xdr:colOff>2971800</xdr:colOff>
                    <xdr:row>2</xdr:row>
                    <xdr:rowOff>19050</xdr:rowOff>
                  </from>
                  <to>
                    <xdr:col>0</xdr:col>
                    <xdr:colOff>3257550</xdr:colOff>
                    <xdr:row>2</xdr:row>
                    <xdr:rowOff>171450</xdr:rowOff>
                  </to>
                </anchor>
              </controlPr>
            </control>
          </mc:Choice>
        </mc:AlternateContent>
        <mc:AlternateContent xmlns:mc="http://schemas.openxmlformats.org/markup-compatibility/2006">
          <mc:Choice Requires="x14">
            <control shapeId="6160" r:id="rId9" name="Button 16">
              <controlPr defaultSize="0" print="0" autoFill="0" autoPict="0" macro="[0]!Sync_with_Base_File">
                <anchor>
                  <from>
                    <xdr:col>0</xdr:col>
                    <xdr:colOff>1533525</xdr:colOff>
                    <xdr:row>18</xdr:row>
                    <xdr:rowOff>28575</xdr:rowOff>
                  </from>
                  <to>
                    <xdr:col>0</xdr:col>
                    <xdr:colOff>2809875</xdr:colOff>
                    <xdr:row>19</xdr:row>
                    <xdr:rowOff>133350</xdr:rowOff>
                  </to>
                </anchor>
              </controlPr>
            </control>
          </mc:Choice>
        </mc:AlternateContent>
        <mc:AlternateContent xmlns:mc="http://schemas.openxmlformats.org/markup-compatibility/2006">
          <mc:Choice Requires="x14">
            <control shapeId="6165" r:id="rId10" name="Button 21">
              <controlPr defaultSize="0" print="0" autoFill="0" autoPict="0" macro="[0]!PostProcessXLSFileLoc_Click">
                <anchor moveWithCells="1" sizeWithCells="1">
                  <from>
                    <xdr:col>0</xdr:col>
                    <xdr:colOff>2971800</xdr:colOff>
                    <xdr:row>5</xdr:row>
                    <xdr:rowOff>19050</xdr:rowOff>
                  </from>
                  <to>
                    <xdr:col>0</xdr:col>
                    <xdr:colOff>3257550</xdr:colOff>
                    <xdr:row>5</xdr:row>
                    <xdr:rowOff>171450</xdr:rowOff>
                  </to>
                </anchor>
              </controlPr>
            </control>
          </mc:Choice>
        </mc:AlternateContent>
        <mc:AlternateContent xmlns:mc="http://schemas.openxmlformats.org/markup-compatibility/2006">
          <mc:Choice Requires="x14">
            <control shapeId="6174" r:id="rId11" name="Button 30">
              <controlPr defaultSize="0" print="0" autoFill="0" autoPict="0" macro="[0]!Open_Results">
                <anchor>
                  <from>
                    <xdr:col>0</xdr:col>
                    <xdr:colOff>3209925</xdr:colOff>
                    <xdr:row>18</xdr:row>
                    <xdr:rowOff>19050</xdr:rowOff>
                  </from>
                  <to>
                    <xdr:col>1</xdr:col>
                    <xdr:colOff>1057275</xdr:colOff>
                    <xdr:row>19</xdr:row>
                    <xdr:rowOff>123825</xdr:rowOff>
                  </to>
                </anchor>
              </controlPr>
            </control>
          </mc:Choice>
        </mc:AlternateContent>
        <mc:AlternateContent xmlns:mc="http://schemas.openxmlformats.org/markup-compatibility/2006">
          <mc:Choice Requires="x14">
            <control shapeId="6180" r:id="rId12" name="Check Box 36">
              <controlPr defaultSize="0" autoFill="0" autoLine="0" autoPict="0">
                <anchor moveWithCells="1">
                  <from>
                    <xdr:col>7</xdr:col>
                    <xdr:colOff>209550</xdr:colOff>
                    <xdr:row>0</xdr:row>
                    <xdr:rowOff>85725</xdr:rowOff>
                  </from>
                  <to>
                    <xdr:col>8</xdr:col>
                    <xdr:colOff>466725</xdr:colOff>
                    <xdr:row>1</xdr:row>
                    <xdr:rowOff>171450</xdr:rowOff>
                  </to>
                </anchor>
              </controlPr>
            </control>
          </mc:Choice>
        </mc:AlternateContent>
        <mc:AlternateContent xmlns:mc="http://schemas.openxmlformats.org/markup-compatibility/2006">
          <mc:Choice Requires="x14">
            <control shapeId="6181" r:id="rId13" name="Check Box 37">
              <controlPr defaultSize="0" autoFill="0" autoLine="0" autoPict="0">
                <anchor>
                  <from>
                    <xdr:col>1</xdr:col>
                    <xdr:colOff>114300</xdr:colOff>
                    <xdr:row>15</xdr:row>
                    <xdr:rowOff>171450</xdr:rowOff>
                  </from>
                  <to>
                    <xdr:col>1</xdr:col>
                    <xdr:colOff>657225</xdr:colOff>
                    <xdr:row>17</xdr:row>
                    <xdr:rowOff>19050</xdr:rowOff>
                  </to>
                </anchor>
              </controlPr>
            </control>
          </mc:Choice>
        </mc:AlternateContent>
        <mc:AlternateContent xmlns:mc="http://schemas.openxmlformats.org/markup-compatibility/2006">
          <mc:Choice Requires="x14">
            <control shapeId="6182" r:id="rId14" name="Check Box 38">
              <controlPr defaultSize="0" autoFill="0" autoLine="0" autoPict="0">
                <anchor>
                  <from>
                    <xdr:col>1</xdr:col>
                    <xdr:colOff>600075</xdr:colOff>
                    <xdr:row>15</xdr:row>
                    <xdr:rowOff>171450</xdr:rowOff>
                  </from>
                  <to>
                    <xdr:col>1</xdr:col>
                    <xdr:colOff>1095375</xdr:colOff>
                    <xdr:row>17</xdr:row>
                    <xdr:rowOff>19050</xdr:rowOff>
                  </to>
                </anchor>
              </controlPr>
            </control>
          </mc:Choice>
        </mc:AlternateContent>
        <mc:AlternateContent xmlns:mc="http://schemas.openxmlformats.org/markup-compatibility/2006">
          <mc:Choice Requires="x14">
            <control shapeId="6183" r:id="rId15" name="Check Box 39">
              <controlPr defaultSize="0" autoFill="0" autoLine="0" autoPict="0">
                <anchor>
                  <from>
                    <xdr:col>1</xdr:col>
                    <xdr:colOff>1057275</xdr:colOff>
                    <xdr:row>15</xdr:row>
                    <xdr:rowOff>171450</xdr:rowOff>
                  </from>
                  <to>
                    <xdr:col>1</xdr:col>
                    <xdr:colOff>1600200</xdr:colOff>
                    <xdr:row>17</xdr:row>
                    <xdr:rowOff>19050</xdr:rowOff>
                  </to>
                </anchor>
              </controlPr>
            </control>
          </mc:Choice>
        </mc:AlternateContent>
        <mc:AlternateContent xmlns:mc="http://schemas.openxmlformats.org/markup-compatibility/2006">
          <mc:Choice Requires="x14">
            <control shapeId="6184" r:id="rId16" name="Check Box 40">
              <controlPr defaultSize="0" autoFill="0" autoLine="0" autoPict="0">
                <anchor>
                  <from>
                    <xdr:col>1</xdr:col>
                    <xdr:colOff>1600200</xdr:colOff>
                    <xdr:row>15</xdr:row>
                    <xdr:rowOff>171450</xdr:rowOff>
                  </from>
                  <to>
                    <xdr:col>1</xdr:col>
                    <xdr:colOff>2362200</xdr:colOff>
                    <xdr:row>17</xdr:row>
                    <xdr:rowOff>19050</xdr:rowOff>
                  </to>
                </anchor>
              </controlPr>
            </control>
          </mc:Choice>
        </mc:AlternateContent>
        <mc:AlternateContent xmlns:mc="http://schemas.openxmlformats.org/markup-compatibility/2006">
          <mc:Choice Requires="x14">
            <control shapeId="6185" r:id="rId17" name="Check Box 41">
              <controlPr defaultSize="0" autoFill="0" autoLine="0" autoPict="0">
                <anchor>
                  <from>
                    <xdr:col>1</xdr:col>
                    <xdr:colOff>2352675</xdr:colOff>
                    <xdr:row>15</xdr:row>
                    <xdr:rowOff>171450</xdr:rowOff>
                  </from>
                  <to>
                    <xdr:col>1</xdr:col>
                    <xdr:colOff>3105150</xdr:colOff>
                    <xdr:row>17</xdr:row>
                    <xdr:rowOff>19050</xdr:rowOff>
                  </to>
                </anchor>
              </controlPr>
            </control>
          </mc:Choice>
        </mc:AlternateContent>
        <mc:AlternateContent xmlns:mc="http://schemas.openxmlformats.org/markup-compatibility/2006">
          <mc:Choice Requires="x14">
            <control shapeId="6187" r:id="rId18" name="Check Box 43">
              <controlPr defaultSize="0" autoFill="0" autoLine="0" autoPict="0">
                <anchor>
                  <from>
                    <xdr:col>1</xdr:col>
                    <xdr:colOff>3086100</xdr:colOff>
                    <xdr:row>15</xdr:row>
                    <xdr:rowOff>171450</xdr:rowOff>
                  </from>
                  <to>
                    <xdr:col>1</xdr:col>
                    <xdr:colOff>3838575</xdr:colOff>
                    <xdr:row>17</xdr:row>
                    <xdr:rowOff>19050</xdr:rowOff>
                  </to>
                </anchor>
              </controlPr>
            </control>
          </mc:Choice>
        </mc:AlternateContent>
        <mc:AlternateContent xmlns:mc="http://schemas.openxmlformats.org/markup-compatibility/2006">
          <mc:Choice Requires="x14">
            <control shapeId="6189" r:id="rId19" name="Check Box 45">
              <controlPr defaultSize="0" autoFill="0" autoLine="0" autoPict="0">
                <anchor>
                  <from>
                    <xdr:col>1</xdr:col>
                    <xdr:colOff>3705225</xdr:colOff>
                    <xdr:row>15</xdr:row>
                    <xdr:rowOff>171450</xdr:rowOff>
                  </from>
                  <to>
                    <xdr:col>1</xdr:col>
                    <xdr:colOff>4752975</xdr:colOff>
                    <xdr:row>17</xdr:row>
                    <xdr:rowOff>19050</xdr:rowOff>
                  </to>
                </anchor>
              </controlPr>
            </control>
          </mc:Choice>
        </mc:AlternateContent>
        <mc:AlternateContent xmlns:mc="http://schemas.openxmlformats.org/markup-compatibility/2006">
          <mc:Choice Requires="x14">
            <control shapeId="6190" r:id="rId20" name="Check Box 46">
              <controlPr defaultSize="0" autoFill="0" autoLine="0" autoPict="0">
                <anchor>
                  <from>
                    <xdr:col>1</xdr:col>
                    <xdr:colOff>4762500</xdr:colOff>
                    <xdr:row>15</xdr:row>
                    <xdr:rowOff>171450</xdr:rowOff>
                  </from>
                  <to>
                    <xdr:col>1</xdr:col>
                    <xdr:colOff>5829300</xdr:colOff>
                    <xdr:row>17</xdr:row>
                    <xdr:rowOff>19050</xdr:rowOff>
                  </to>
                </anchor>
              </controlPr>
            </control>
          </mc:Choice>
        </mc:AlternateContent>
        <mc:AlternateContent xmlns:mc="http://schemas.openxmlformats.org/markup-compatibility/2006">
          <mc:Choice Requires="x14">
            <control shapeId="6191" r:id="rId21" name="Check Box 47">
              <controlPr defaultSize="0" autoFill="0" autoLine="0" autoPict="0">
                <anchor>
                  <from>
                    <xdr:col>1</xdr:col>
                    <xdr:colOff>5829300</xdr:colOff>
                    <xdr:row>15</xdr:row>
                    <xdr:rowOff>171450</xdr:rowOff>
                  </from>
                  <to>
                    <xdr:col>1</xdr:col>
                    <xdr:colOff>6581775</xdr:colOff>
                    <xdr:row>17</xdr:row>
                    <xdr:rowOff>19050</xdr:rowOff>
                  </to>
                </anchor>
              </controlPr>
            </control>
          </mc:Choice>
        </mc:AlternateContent>
        <mc:AlternateContent xmlns:mc="http://schemas.openxmlformats.org/markup-compatibility/2006">
          <mc:Choice Requires="x14">
            <control shapeId="6192" r:id="rId22" name="Check Box 48">
              <controlPr defaultSize="0" autoFill="0" autoLine="0" autoPict="0" altText="delta with respect to local object">
                <anchor moveWithCells="1">
                  <from>
                    <xdr:col>12</xdr:col>
                    <xdr:colOff>209550</xdr:colOff>
                    <xdr:row>0</xdr:row>
                    <xdr:rowOff>47625</xdr:rowOff>
                  </from>
                  <to>
                    <xdr:col>14</xdr:col>
                    <xdr:colOff>142875</xdr:colOff>
                    <xdr:row>1</xdr:row>
                    <xdr:rowOff>133350</xdr:rowOff>
                  </to>
                </anchor>
              </controlPr>
            </control>
          </mc:Choice>
        </mc:AlternateContent>
        <mc:AlternateContent xmlns:mc="http://schemas.openxmlformats.org/markup-compatibility/2006">
          <mc:Choice Requires="x14">
            <control shapeId="6193" r:id="rId23" name="Check Box 49">
              <controlPr defaultSize="0" autoFill="0" autoLine="0" autoPict="0">
                <anchor moveWithCells="1">
                  <from>
                    <xdr:col>9</xdr:col>
                    <xdr:colOff>66675</xdr:colOff>
                    <xdr:row>0</xdr:row>
                    <xdr:rowOff>85725</xdr:rowOff>
                  </from>
                  <to>
                    <xdr:col>10</xdr:col>
                    <xdr:colOff>314325</xdr:colOff>
                    <xdr:row>1</xdr:row>
                    <xdr:rowOff>171450</xdr:rowOff>
                  </to>
                </anchor>
              </controlPr>
            </control>
          </mc:Choice>
        </mc:AlternateContent>
        <mc:AlternateContent xmlns:mc="http://schemas.openxmlformats.org/markup-compatibility/2006">
          <mc:Choice Requires="x14">
            <control shapeId="6201" r:id="rId24" name="Check Box 57">
              <controlPr defaultSize="0" autoFill="0" autoLine="0" autoPict="0">
                <anchor>
                  <from>
                    <xdr:col>1</xdr:col>
                    <xdr:colOff>6572250</xdr:colOff>
                    <xdr:row>15</xdr:row>
                    <xdr:rowOff>171450</xdr:rowOff>
                  </from>
                  <to>
                    <xdr:col>1</xdr:col>
                    <xdr:colOff>7762875</xdr:colOff>
                    <xdr:row>17</xdr:row>
                    <xdr:rowOff>19050</xdr:rowOff>
                  </to>
                </anchor>
              </controlPr>
            </control>
          </mc:Choice>
        </mc:AlternateContent>
        <mc:AlternateContent xmlns:mc="http://schemas.openxmlformats.org/markup-compatibility/2006">
          <mc:Choice Requires="x14">
            <control shapeId="6202" r:id="rId25" name="Check Box 58">
              <controlPr defaultSize="0" autoFill="0" autoLine="0" autoPict="0">
                <anchor>
                  <from>
                    <xdr:col>1</xdr:col>
                    <xdr:colOff>7820025</xdr:colOff>
                    <xdr:row>15</xdr:row>
                    <xdr:rowOff>171450</xdr:rowOff>
                  </from>
                  <to>
                    <xdr:col>3</xdr:col>
                    <xdr:colOff>533400</xdr:colOff>
                    <xdr:row>17</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bs_ref!$A$1:$A$100</xm:f>
          </x14:formula1>
          <xm:sqref>M21:M103 M5:M18</xm:sqref>
        </x14:dataValidation>
        <x14:dataValidation type="list" allowBlank="1" showInputMessage="1" showErrorMessage="1" xr:uid="{00000000-0002-0000-0000-000001000000}">
          <x14:formula1>
            <xm:f>bs_ref!#REF!</xm:f>
          </x14:formula1>
          <xm:sqref>M4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I15"/>
  <sheetViews>
    <sheetView workbookViewId="0"/>
  </sheetViews>
  <sheetFormatPr defaultRowHeight="15" x14ac:dyDescent="0.25"/>
  <cols>
    <col min="1" max="2" width="11.42578125" customWidth="1"/>
    <col min="3" max="3" width="25.7109375" customWidth="1"/>
    <col min="4" max="4" width="11.42578125" customWidth="1"/>
    <col min="5" max="5" width="32.140625" customWidth="1"/>
    <col min="6" max="6" width="11.42578125" customWidth="1"/>
    <col min="7" max="7" width="14.28515625" customWidth="1"/>
    <col min="8" max="8" width="11.42578125" customWidth="1"/>
    <col min="9" max="9" width="20.7109375" customWidth="1"/>
  </cols>
  <sheetData>
    <row r="1" spans="1:9" x14ac:dyDescent="0.25">
      <c r="A1" s="10"/>
      <c r="B1" s="10"/>
      <c r="C1" s="10"/>
      <c r="D1" s="10"/>
      <c r="E1" s="10"/>
      <c r="F1" s="10"/>
      <c r="G1" s="10"/>
      <c r="H1" s="10"/>
      <c r="I1" s="11"/>
    </row>
    <row r="2" spans="1:9" ht="15.75" thickBot="1" x14ac:dyDescent="0.3">
      <c r="A2" s="11"/>
      <c r="B2" s="11"/>
      <c r="C2" s="11"/>
      <c r="D2" s="11"/>
      <c r="E2" s="11"/>
      <c r="F2" s="11"/>
      <c r="G2" s="11"/>
      <c r="H2" s="11"/>
      <c r="I2" s="11"/>
    </row>
    <row r="3" spans="1:9" x14ac:dyDescent="0.25">
      <c r="A3" s="12" t="s">
        <v>11</v>
      </c>
      <c r="B3" s="13" t="s">
        <v>12</v>
      </c>
      <c r="C3" s="12"/>
      <c r="D3" s="13" t="s">
        <v>13</v>
      </c>
      <c r="E3" s="14"/>
      <c r="F3" s="12" t="s">
        <v>14</v>
      </c>
      <c r="G3" s="12" t="s">
        <v>15</v>
      </c>
      <c r="H3" s="12" t="s">
        <v>16</v>
      </c>
      <c r="I3" s="13"/>
    </row>
    <row r="4" spans="1:9" ht="15.75" thickBot="1" x14ac:dyDescent="0.3">
      <c r="A4" s="15" t="s">
        <v>1</v>
      </c>
      <c r="B4" s="16" t="s">
        <v>17</v>
      </c>
      <c r="C4" s="15" t="s">
        <v>12</v>
      </c>
      <c r="D4" s="16" t="s">
        <v>17</v>
      </c>
      <c r="E4" s="15" t="s">
        <v>18</v>
      </c>
      <c r="F4" s="15" t="s">
        <v>1</v>
      </c>
      <c r="G4" s="15" t="s">
        <v>19</v>
      </c>
      <c r="H4" s="15" t="s">
        <v>20</v>
      </c>
      <c r="I4" s="16" t="s">
        <v>21</v>
      </c>
    </row>
    <row r="5" spans="1:9" x14ac:dyDescent="0.25">
      <c r="A5" s="17"/>
      <c r="B5" s="17"/>
      <c r="C5" s="17"/>
      <c r="D5" s="17"/>
      <c r="E5" s="18" t="s">
        <v>44</v>
      </c>
      <c r="F5" s="17"/>
      <c r="G5" s="17"/>
      <c r="H5" s="17"/>
      <c r="I5" s="17"/>
    </row>
    <row r="6" spans="1:9" x14ac:dyDescent="0.25">
      <c r="A6" s="21" t="s">
        <v>22</v>
      </c>
      <c r="B6" s="21"/>
      <c r="C6" s="21"/>
      <c r="D6" s="22" t="str">
        <f>"B" &amp; J5*2+1</f>
        <v>B1</v>
      </c>
      <c r="E6" s="21" t="s">
        <v>37</v>
      </c>
      <c r="F6" s="21" t="s">
        <v>48</v>
      </c>
      <c r="G6" s="22" t="str">
        <f>0 &amp; " to " &amp; 5</f>
        <v>0 to 5</v>
      </c>
      <c r="H6" s="22">
        <v>1</v>
      </c>
      <c r="I6" s="21" t="s">
        <v>24</v>
      </c>
    </row>
    <row r="7" spans="1:9" x14ac:dyDescent="0.25">
      <c r="A7" s="25" t="s">
        <v>22</v>
      </c>
      <c r="B7" s="25"/>
      <c r="C7" s="25"/>
      <c r="D7" s="26" t="str">
        <f>"F" &amp; J5*2+1</f>
        <v>F1</v>
      </c>
      <c r="E7" s="25" t="s">
        <v>37</v>
      </c>
      <c r="F7" s="25" t="s">
        <v>48</v>
      </c>
      <c r="G7" s="26" t="str">
        <f>0 &amp; " to " &amp; 5</f>
        <v>0 to 5</v>
      </c>
      <c r="H7" s="26">
        <v>1</v>
      </c>
      <c r="I7" s="25" t="s">
        <v>23</v>
      </c>
    </row>
    <row r="8" spans="1:9" x14ac:dyDescent="0.25">
      <c r="A8" s="25" t="s">
        <v>22</v>
      </c>
      <c r="B8" s="25"/>
      <c r="C8" s="25"/>
      <c r="D8" s="26" t="str">
        <f>"J" &amp; J5*2+1</f>
        <v>J1</v>
      </c>
      <c r="E8" s="25" t="s">
        <v>37</v>
      </c>
      <c r="F8" s="25" t="s">
        <v>48</v>
      </c>
      <c r="G8" s="26" t="str">
        <f>5 &amp; " to " &amp; 104.3</f>
        <v>5 to 104.3</v>
      </c>
      <c r="H8" s="26">
        <v>1</v>
      </c>
      <c r="I8" s="25" t="s">
        <v>24</v>
      </c>
    </row>
    <row r="9" spans="1:9" x14ac:dyDescent="0.25">
      <c r="A9" s="25" t="s">
        <v>22</v>
      </c>
      <c r="B9" s="25"/>
      <c r="C9" s="25"/>
      <c r="D9" s="26" t="str">
        <f>"N" &amp; J5*2+1</f>
        <v>N1</v>
      </c>
      <c r="E9" s="25" t="s">
        <v>37</v>
      </c>
      <c r="F9" s="25" t="s">
        <v>48</v>
      </c>
      <c r="G9" s="26" t="str">
        <f>5 &amp; " to " &amp; 104.3</f>
        <v>5 to 104.3</v>
      </c>
      <c r="H9" s="26">
        <v>1</v>
      </c>
      <c r="I9" s="25" t="s">
        <v>23</v>
      </c>
    </row>
    <row r="10" spans="1:9" x14ac:dyDescent="0.25">
      <c r="A10" s="25" t="s">
        <v>22</v>
      </c>
      <c r="B10" s="25"/>
      <c r="C10" s="25"/>
      <c r="D10" s="26" t="str">
        <f>"R" &amp; J5*2+1</f>
        <v>R1</v>
      </c>
      <c r="E10" s="25" t="s">
        <v>37</v>
      </c>
      <c r="F10" s="25" t="s">
        <v>48</v>
      </c>
      <c r="G10" s="26" t="str">
        <f>104.3 &amp; " to " &amp; 145.1</f>
        <v>104.3 to 145.1</v>
      </c>
      <c r="H10" s="26">
        <v>1</v>
      </c>
      <c r="I10" s="25" t="s">
        <v>24</v>
      </c>
    </row>
    <row r="11" spans="1:9" x14ac:dyDescent="0.25">
      <c r="A11" s="25" t="s">
        <v>22</v>
      </c>
      <c r="B11" s="25"/>
      <c r="C11" s="25"/>
      <c r="D11" s="26" t="str">
        <f>"V" &amp; J5*2+1</f>
        <v>V1</v>
      </c>
      <c r="E11" s="25" t="s">
        <v>37</v>
      </c>
      <c r="F11" s="25" t="s">
        <v>48</v>
      </c>
      <c r="G11" s="26" t="str">
        <f>104.3 &amp; " to " &amp; 145.1</f>
        <v>104.3 to 145.1</v>
      </c>
      <c r="H11" s="26">
        <v>1</v>
      </c>
      <c r="I11" s="25" t="s">
        <v>23</v>
      </c>
    </row>
    <row r="12" spans="1:9" x14ac:dyDescent="0.25">
      <c r="A12" s="25" t="s">
        <v>22</v>
      </c>
      <c r="B12" s="25"/>
      <c r="C12" s="25"/>
      <c r="D12" s="26" t="str">
        <f>"Z" &amp; J5*2+1</f>
        <v>Z1</v>
      </c>
      <c r="E12" s="25" t="s">
        <v>37</v>
      </c>
      <c r="F12" s="25" t="s">
        <v>48</v>
      </c>
      <c r="G12" s="26" t="str">
        <f>145.1 &amp; " to " &amp; 148.55</f>
        <v>145.1 to 148.55</v>
      </c>
      <c r="H12" s="26">
        <v>1</v>
      </c>
      <c r="I12" s="25" t="s">
        <v>24</v>
      </c>
    </row>
    <row r="13" spans="1:9" x14ac:dyDescent="0.25">
      <c r="A13" s="25" t="s">
        <v>22</v>
      </c>
      <c r="B13" s="25"/>
      <c r="C13" s="25"/>
      <c r="D13" s="26" t="str">
        <f>"AD" &amp; J5*2+1</f>
        <v>AD1</v>
      </c>
      <c r="E13" s="25" t="s">
        <v>37</v>
      </c>
      <c r="F13" s="25" t="s">
        <v>48</v>
      </c>
      <c r="G13" s="26" t="str">
        <f>145.1 &amp; " to " &amp; 148.55</f>
        <v>145.1 to 148.55</v>
      </c>
      <c r="H13" s="26">
        <v>1</v>
      </c>
      <c r="I13" s="25" t="s">
        <v>23</v>
      </c>
    </row>
    <row r="14" spans="1:9" x14ac:dyDescent="0.25">
      <c r="A14" s="25" t="s">
        <v>22</v>
      </c>
      <c r="B14" s="25"/>
      <c r="C14" s="25"/>
      <c r="D14" s="26" t="str">
        <f>"AH" &amp; J5*2+1</f>
        <v>AH1</v>
      </c>
      <c r="E14" s="25" t="s">
        <v>37</v>
      </c>
      <c r="F14" s="25" t="s">
        <v>48</v>
      </c>
      <c r="G14" s="26" t="str">
        <f>148.55 &amp; " to " &amp; 191</f>
        <v>148.55 to 191</v>
      </c>
      <c r="H14" s="26">
        <v>1</v>
      </c>
      <c r="I14" s="25" t="s">
        <v>24</v>
      </c>
    </row>
    <row r="15" spans="1:9" x14ac:dyDescent="0.25">
      <c r="A15" s="25" t="s">
        <v>22</v>
      </c>
      <c r="B15" s="25"/>
      <c r="C15" s="25"/>
      <c r="D15" s="26" t="str">
        <f>"AL" &amp; J5*2+1</f>
        <v>AL1</v>
      </c>
      <c r="E15" s="25" t="s">
        <v>37</v>
      </c>
      <c r="F15" s="25" t="s">
        <v>48</v>
      </c>
      <c r="G15" s="26" t="str">
        <f>148.55 &amp; " to " &amp; 191</f>
        <v>148.55 to 191</v>
      </c>
      <c r="H15" s="26">
        <v>1</v>
      </c>
      <c r="I15" s="25" t="s">
        <v>23</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2"/>
  <sheetViews>
    <sheetView workbookViewId="0">
      <selection activeCell="D32" sqref="D32"/>
    </sheetView>
  </sheetViews>
  <sheetFormatPr defaultRowHeight="15" x14ac:dyDescent="0.25"/>
  <cols>
    <col min="1" max="1" width="11.140625" customWidth="1"/>
  </cols>
  <sheetData>
    <row r="1" spans="1:1" x14ac:dyDescent="0.25">
      <c r="A1" t="s">
        <v>4</v>
      </c>
    </row>
    <row r="2" spans="1:1" x14ac:dyDescent="0.25">
      <c r="A2" t="s">
        <v>10</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Input</vt:lpstr>
      <vt:lpstr>post process</vt:lpstr>
      <vt:lpstr>bs_ref</vt:lpstr>
      <vt:lpstr>OrcObj</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Todd Jeans</dc:creator>
  <cp:lastModifiedBy>Stephen Noftall</cp:lastModifiedBy>
  <dcterms:created xsi:type="dcterms:W3CDTF">2015-09-14T12:05:02Z</dcterms:created>
  <dcterms:modified xsi:type="dcterms:W3CDTF">2020-01-08T17:55:25Z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b48b937-0ae3-46f5-b32e-f3232b5be847_Enabled">
    <vt:lpwstr>True</vt:lpwstr>
  </property>
  <property fmtid="{D5CDD505-2E9C-101B-9397-08002B2CF9AE}" pid="3" name="MSIP_Label_3b48b937-0ae3-46f5-b32e-f3232b5be847_SiteId">
    <vt:lpwstr>9179d01a-e94c-4488-b5f0-4554bc474f8c</vt:lpwstr>
  </property>
  <property fmtid="{D5CDD505-2E9C-101B-9397-08002B2CF9AE}" pid="4" name="MSIP_Label_3b48b937-0ae3-46f5-b32e-f3232b5be847_Owner">
    <vt:lpwstr>stephen.noftall@technipfmc.com</vt:lpwstr>
  </property>
  <property fmtid="{D5CDD505-2E9C-101B-9397-08002B2CF9AE}" pid="5" name="MSIP_Label_3b48b937-0ae3-46f5-b32e-f3232b5be847_SetDate">
    <vt:lpwstr>2020-01-08T15:18:34.5324570Z</vt:lpwstr>
  </property>
  <property fmtid="{D5CDD505-2E9C-101B-9397-08002B2CF9AE}" pid="6" name="MSIP_Label_3b48b937-0ae3-46f5-b32e-f3232b5be847_Name">
    <vt:lpwstr>General</vt:lpwstr>
  </property>
  <property fmtid="{D5CDD505-2E9C-101B-9397-08002B2CF9AE}" pid="7" name="MSIP_Label_3b48b937-0ae3-46f5-b32e-f3232b5be847_Application">
    <vt:lpwstr>Microsoft Azure Information Protection</vt:lpwstr>
  </property>
  <property fmtid="{D5CDD505-2E9C-101B-9397-08002B2CF9AE}" pid="8" name="MSIP_Label_3b48b937-0ae3-46f5-b32e-f3232b5be847_Extended_MSFT_Method">
    <vt:lpwstr>Automatic</vt:lpwstr>
  </property>
  <property fmtid="{D5CDD505-2E9C-101B-9397-08002B2CF9AE}" pid="9" name="Sensitivity">
    <vt:lpwstr>General</vt:lpwstr>
  </property>
</Properties>
</file>